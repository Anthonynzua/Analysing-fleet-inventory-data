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DATA ANALYTICS\Assignments\"/>
    </mc:Choice>
  </mc:AlternateContent>
  <xr:revisionPtr revIDLastSave="0" documentId="13_ncr:1_{5FE494A0-40FA-47C9-9E26-51466235233F}" xr6:coauthVersionLast="47" xr6:coauthVersionMax="47" xr10:uidLastSave="{00000000-0000-0000-0000-000000000000}"/>
  <bookViews>
    <workbookView xWindow="-120" yWindow="-120" windowWidth="20730" windowHeight="11760" activeTab="3" xr2:uid="{00000000-000D-0000-FFFF-FFFF00000000}"/>
  </bookViews>
  <sheets>
    <sheet name="Montgomery_Fleet_Equipment_Inve" sheetId="1" r:id="rId1"/>
    <sheet name="Pivot 1" sheetId="5" r:id="rId2"/>
    <sheet name="Pivot 2" sheetId="7" r:id="rId3"/>
    <sheet name="Pivot 3" sheetId="8" r:id="rId4"/>
  </sheets>
  <definedNames>
    <definedName name="_xlnm._FilterDatabase" localSheetId="0" hidden="1">Montgomery_Fleet_Equipment_Inve!$A$1:$C$50</definedName>
  </definedNames>
  <calcPr calcId="181029"/>
  <pivotCaches>
    <pivotCache cacheId="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2" i="1" l="1"/>
  <c r="G11" i="1"/>
  <c r="G10" i="1"/>
  <c r="G9" i="1"/>
  <c r="G8" i="1"/>
</calcChain>
</file>

<file path=xl/sharedStrings.xml><?xml version="1.0" encoding="utf-8"?>
<sst xmlns="http://schemas.openxmlformats.org/spreadsheetml/2006/main" count="239" uniqueCount="37">
  <si>
    <t>Public Safety SUV</t>
  </si>
  <si>
    <t>Sedan</t>
  </si>
  <si>
    <t>Housing and Community Affairs</t>
  </si>
  <si>
    <t>Pick Up Trucks</t>
  </si>
  <si>
    <t>SUV</t>
  </si>
  <si>
    <t>Human Rights</t>
  </si>
  <si>
    <t>Libraries</t>
  </si>
  <si>
    <t>Van</t>
  </si>
  <si>
    <t>Medium Duty</t>
  </si>
  <si>
    <t>Liquor Control</t>
  </si>
  <si>
    <t>Heavy Duty</t>
  </si>
  <si>
    <t>Office Of Homeland Security</t>
  </si>
  <si>
    <t>Permitting Services</t>
  </si>
  <si>
    <t>CUV</t>
  </si>
  <si>
    <t>Public Information Office</t>
  </si>
  <si>
    <t>Recreation</t>
  </si>
  <si>
    <t>Sheriffs Office</t>
  </si>
  <si>
    <t>Public Safety Van</t>
  </si>
  <si>
    <t>Public Safety CUV</t>
  </si>
  <si>
    <t>Public Safety Sedan</t>
  </si>
  <si>
    <t>Public Safety Pick Up Trucks</t>
  </si>
  <si>
    <t>State Attorneys Office</t>
  </si>
  <si>
    <t>Technology Services</t>
  </si>
  <si>
    <t>Transportation</t>
  </si>
  <si>
    <t>Transit Bus</t>
  </si>
  <si>
    <t>Off Road Vehicle Equipment</t>
  </si>
  <si>
    <t>DEPARTMENT</t>
  </si>
  <si>
    <t>EQUIPMENT CLASS</t>
  </si>
  <si>
    <t>EQUIPMENT COUNT</t>
  </si>
  <si>
    <t>COUNT</t>
  </si>
  <si>
    <t>SUM</t>
  </si>
  <si>
    <t>AVERAGE</t>
  </si>
  <si>
    <t>MIN</t>
  </si>
  <si>
    <t>MAX</t>
  </si>
  <si>
    <t>Row Labels</t>
  </si>
  <si>
    <t>Grand Total</t>
  </si>
  <si>
    <t>Sum of EQUIPMENT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</si>
</sst>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225.726860763891" createdVersion="6" refreshedVersion="6" minRefreshableVersion="3" recordCount="49" xr:uid="{002599B7-0CCD-444A-9CE9-2527AC222B72}">
  <cacheSource type="worksheet">
    <worksheetSource name="Table1"/>
  </cacheSource>
  <cacheFields count="3">
    <cacheField name="DEPARTMENT" numFmtId="0">
      <sharedItems count="12">
        <s v="Transportation"/>
        <s v="Permitting Services"/>
        <s v="Sheriffs Office"/>
        <s v="Liquor Control"/>
        <s v="Housing and Community Affairs"/>
        <s v="Recreation"/>
        <s v="Technology Services"/>
        <s v="Libraries"/>
        <s v="Human Rights"/>
        <s v="State Attorneys Office"/>
        <s v="Office Of Homeland Security"/>
        <s v="Public Information Office"/>
      </sharedItems>
    </cacheField>
    <cacheField name="EQUIPMENT CLASS" numFmtId="0">
      <sharedItems count="14">
        <s v="Transit Bus"/>
        <s v="Off Road Vehicle Equipment"/>
        <s v="Heavy Duty"/>
        <s v="Medium Duty"/>
        <s v="Pick Up Trucks"/>
        <s v="SUV"/>
        <s v="Sedan"/>
        <s v="Public Safety Sedan"/>
        <s v="Van"/>
        <s v="Public Safety SUV"/>
        <s v="CUV"/>
        <s v="Public Safety Van"/>
        <s v="Public Safety CUV"/>
        <s v="Public Safety Pick Up Trucks"/>
      </sharedItems>
    </cacheField>
    <cacheField name="EQUIPMENT COUNT" numFmtId="0">
      <sharedItems containsSemiMixedTypes="0" containsString="0" containsNumber="1" containsInteger="1" minValue="1" maxValue="3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n v="379"/>
  </r>
  <r>
    <x v="0"/>
    <x v="1"/>
    <n v="276"/>
  </r>
  <r>
    <x v="0"/>
    <x v="2"/>
    <n v="248"/>
  </r>
  <r>
    <x v="0"/>
    <x v="3"/>
    <n v="98"/>
  </r>
  <r>
    <x v="0"/>
    <x v="4"/>
    <n v="93"/>
  </r>
  <r>
    <x v="0"/>
    <x v="5"/>
    <n v="53"/>
  </r>
  <r>
    <x v="1"/>
    <x v="6"/>
    <n v="48"/>
  </r>
  <r>
    <x v="2"/>
    <x v="7"/>
    <n v="46"/>
  </r>
  <r>
    <x v="3"/>
    <x v="2"/>
    <n v="42"/>
  </r>
  <r>
    <x v="0"/>
    <x v="6"/>
    <n v="37"/>
  </r>
  <r>
    <x v="0"/>
    <x v="8"/>
    <n v="32"/>
  </r>
  <r>
    <x v="1"/>
    <x v="5"/>
    <n v="27"/>
  </r>
  <r>
    <x v="1"/>
    <x v="4"/>
    <n v="24"/>
  </r>
  <r>
    <x v="4"/>
    <x v="6"/>
    <n v="23"/>
  </r>
  <r>
    <x v="4"/>
    <x v="4"/>
    <n v="21"/>
  </r>
  <r>
    <x v="2"/>
    <x v="9"/>
    <n v="20"/>
  </r>
  <r>
    <x v="5"/>
    <x v="8"/>
    <n v="15"/>
  </r>
  <r>
    <x v="3"/>
    <x v="6"/>
    <n v="11"/>
  </r>
  <r>
    <x v="6"/>
    <x v="8"/>
    <n v="11"/>
  </r>
  <r>
    <x v="1"/>
    <x v="10"/>
    <n v="9"/>
  </r>
  <r>
    <x v="2"/>
    <x v="11"/>
    <n v="8"/>
  </r>
  <r>
    <x v="5"/>
    <x v="1"/>
    <n v="7"/>
  </r>
  <r>
    <x v="5"/>
    <x v="6"/>
    <n v="6"/>
  </r>
  <r>
    <x v="5"/>
    <x v="4"/>
    <n v="5"/>
  </r>
  <r>
    <x v="0"/>
    <x v="10"/>
    <n v="5"/>
  </r>
  <r>
    <x v="2"/>
    <x v="12"/>
    <n v="4"/>
  </r>
  <r>
    <x v="7"/>
    <x v="4"/>
    <n v="3"/>
  </r>
  <r>
    <x v="2"/>
    <x v="4"/>
    <n v="3"/>
  </r>
  <r>
    <x v="6"/>
    <x v="5"/>
    <n v="3"/>
  </r>
  <r>
    <x v="8"/>
    <x v="6"/>
    <n v="2"/>
  </r>
  <r>
    <x v="7"/>
    <x v="8"/>
    <n v="2"/>
  </r>
  <r>
    <x v="3"/>
    <x v="8"/>
    <n v="2"/>
  </r>
  <r>
    <x v="5"/>
    <x v="5"/>
    <n v="2"/>
  </r>
  <r>
    <x v="9"/>
    <x v="6"/>
    <n v="2"/>
  </r>
  <r>
    <x v="4"/>
    <x v="5"/>
    <n v="1"/>
  </r>
  <r>
    <x v="7"/>
    <x v="3"/>
    <n v="1"/>
  </r>
  <r>
    <x v="3"/>
    <x v="5"/>
    <n v="1"/>
  </r>
  <r>
    <x v="10"/>
    <x v="5"/>
    <n v="1"/>
  </r>
  <r>
    <x v="1"/>
    <x v="8"/>
    <n v="1"/>
  </r>
  <r>
    <x v="11"/>
    <x v="8"/>
    <n v="1"/>
  </r>
  <r>
    <x v="2"/>
    <x v="6"/>
    <n v="1"/>
  </r>
  <r>
    <x v="2"/>
    <x v="3"/>
    <n v="1"/>
  </r>
  <r>
    <x v="2"/>
    <x v="5"/>
    <n v="1"/>
  </r>
  <r>
    <x v="2"/>
    <x v="13"/>
    <n v="1"/>
  </r>
  <r>
    <x v="9"/>
    <x v="7"/>
    <n v="1"/>
  </r>
  <r>
    <x v="9"/>
    <x v="8"/>
    <n v="1"/>
  </r>
  <r>
    <x v="9"/>
    <x v="5"/>
    <n v="1"/>
  </r>
  <r>
    <x v="6"/>
    <x v="4"/>
    <n v="1"/>
  </r>
  <r>
    <x v="6"/>
    <x v="1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023CB8-A033-4CDC-8F1A-6FE43DD71AA6}" name="PivotTable2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6" firstHeaderRow="1" firstDataRow="1" firstDataCol="1"/>
  <pivotFields count="3">
    <pivotField axis="axisRow" showAll="0" sortType="descending">
      <items count="13">
        <item x="0"/>
        <item x="6"/>
        <item x="9"/>
        <item x="2"/>
        <item x="5"/>
        <item x="11"/>
        <item x="1"/>
        <item x="10"/>
        <item x="3"/>
        <item x="7"/>
        <item x="8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0"/>
  </rowFields>
  <rowItems count="13">
    <i>
      <x/>
    </i>
    <i>
      <x v="6"/>
    </i>
    <i>
      <x v="3"/>
    </i>
    <i>
      <x v="8"/>
    </i>
    <i>
      <x v="11"/>
    </i>
    <i>
      <x v="4"/>
    </i>
    <i>
      <x v="1"/>
    </i>
    <i>
      <x v="9"/>
    </i>
    <i>
      <x v="2"/>
    </i>
    <i>
      <x v="10"/>
    </i>
    <i>
      <x v="7"/>
    </i>
    <i>
      <x v="5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DAD4D7-C091-431F-A37E-F27AD7EB6CEC}" name="PivotTable4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56" firstHeaderRow="1" firstDataRow="1" firstDataCol="1"/>
  <pivotFields count="3">
    <pivotField axis="axisRow" showAll="0" sortType="descending">
      <items count="13">
        <item x="4"/>
        <item x="8"/>
        <item x="7"/>
        <item x="3"/>
        <item x="10"/>
        <item x="1"/>
        <item x="11"/>
        <item x="5"/>
        <item x="2"/>
        <item x="9"/>
        <item x="6"/>
        <item sd="0"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15">
        <item x="10"/>
        <item x="2"/>
        <item x="3"/>
        <item x="1"/>
        <item x="4"/>
        <item x="12"/>
        <item x="13"/>
        <item x="7"/>
        <item x="9"/>
        <item x="11"/>
        <item x="6"/>
        <item x="5"/>
        <item x="0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2">
    <field x="0"/>
    <field x="1"/>
  </rowFields>
  <rowItems count="53">
    <i>
      <x v="11"/>
    </i>
    <i>
      <x v="5"/>
    </i>
    <i r="1">
      <x v="10"/>
    </i>
    <i r="1">
      <x v="11"/>
    </i>
    <i r="1">
      <x v="4"/>
    </i>
    <i r="1">
      <x/>
    </i>
    <i r="1">
      <x v="13"/>
    </i>
    <i>
      <x v="8"/>
    </i>
    <i r="1">
      <x v="7"/>
    </i>
    <i r="1">
      <x v="8"/>
    </i>
    <i r="1">
      <x v="9"/>
    </i>
    <i r="1">
      <x v="5"/>
    </i>
    <i r="1">
      <x v="4"/>
    </i>
    <i r="1">
      <x v="6"/>
    </i>
    <i r="1">
      <x v="10"/>
    </i>
    <i r="1">
      <x v="11"/>
    </i>
    <i r="1">
      <x v="2"/>
    </i>
    <i>
      <x v="3"/>
    </i>
    <i r="1">
      <x v="1"/>
    </i>
    <i r="1">
      <x v="10"/>
    </i>
    <i r="1">
      <x v="13"/>
    </i>
    <i r="1">
      <x v="11"/>
    </i>
    <i>
      <x/>
    </i>
    <i r="1">
      <x v="10"/>
    </i>
    <i r="1">
      <x v="4"/>
    </i>
    <i r="1">
      <x v="11"/>
    </i>
    <i>
      <x v="7"/>
    </i>
    <i r="1">
      <x v="13"/>
    </i>
    <i r="1">
      <x v="3"/>
    </i>
    <i r="1">
      <x v="10"/>
    </i>
    <i r="1">
      <x v="4"/>
    </i>
    <i r="1">
      <x v="11"/>
    </i>
    <i>
      <x v="10"/>
    </i>
    <i r="1">
      <x v="13"/>
    </i>
    <i r="1">
      <x v="11"/>
    </i>
    <i r="1">
      <x/>
    </i>
    <i r="1">
      <x v="4"/>
    </i>
    <i>
      <x v="2"/>
    </i>
    <i r="1">
      <x v="4"/>
    </i>
    <i r="1">
      <x v="13"/>
    </i>
    <i r="1">
      <x v="2"/>
    </i>
    <i>
      <x v="9"/>
    </i>
    <i r="1">
      <x v="10"/>
    </i>
    <i r="1">
      <x v="7"/>
    </i>
    <i r="1">
      <x v="13"/>
    </i>
    <i r="1">
      <x v="11"/>
    </i>
    <i>
      <x v="1"/>
    </i>
    <i r="1">
      <x v="10"/>
    </i>
    <i>
      <x v="4"/>
    </i>
    <i r="1">
      <x v="11"/>
    </i>
    <i>
      <x v="6"/>
    </i>
    <i r="1">
      <x v="13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B75654-0B7A-4478-8A8F-13EC7510315E}" name="PivotTable5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64" firstHeaderRow="1" firstDataRow="1" firstDataCol="1"/>
  <pivotFields count="3">
    <pivotField axis="axisRow" showAll="0">
      <items count="13">
        <item x="4"/>
        <item x="8"/>
        <item x="7"/>
        <item x="3"/>
        <item x="10"/>
        <item x="1"/>
        <item x="11"/>
        <item x="5"/>
        <item x="2"/>
        <item x="9"/>
        <item x="6"/>
        <item x="0"/>
        <item t="default"/>
      </items>
    </pivotField>
    <pivotField axis="axisRow" showAll="0" sortType="ascending">
      <items count="15">
        <item sd="0" x="10"/>
        <item x="2"/>
        <item x="3"/>
        <item x="1"/>
        <item x="4"/>
        <item x="12"/>
        <item x="13"/>
        <item x="7"/>
        <item x="9"/>
        <item x="11"/>
        <item x="6"/>
        <item x="5"/>
        <item x="0"/>
        <item x="8"/>
        <item t="default"/>
      </items>
    </pivotField>
    <pivotField dataField="1" showAll="0"/>
  </pivotFields>
  <rowFields count="2">
    <field x="1"/>
    <field x="0"/>
  </rowFields>
  <rowItems count="61">
    <i>
      <x/>
    </i>
    <i>
      <x v="1"/>
    </i>
    <i r="1">
      <x v="3"/>
    </i>
    <i r="1">
      <x v="11"/>
    </i>
    <i>
      <x v="2"/>
    </i>
    <i r="1">
      <x v="2"/>
    </i>
    <i r="1">
      <x v="8"/>
    </i>
    <i r="1">
      <x v="11"/>
    </i>
    <i>
      <x v="3"/>
    </i>
    <i r="1">
      <x v="7"/>
    </i>
    <i r="1">
      <x v="11"/>
    </i>
    <i>
      <x v="4"/>
    </i>
    <i r="1">
      <x/>
    </i>
    <i r="1">
      <x v="2"/>
    </i>
    <i r="1">
      <x v="5"/>
    </i>
    <i r="1">
      <x v="7"/>
    </i>
    <i r="1">
      <x v="8"/>
    </i>
    <i r="1">
      <x v="10"/>
    </i>
    <i r="1">
      <x v="11"/>
    </i>
    <i>
      <x v="5"/>
    </i>
    <i r="1">
      <x v="8"/>
    </i>
    <i>
      <x v="6"/>
    </i>
    <i r="1">
      <x v="8"/>
    </i>
    <i>
      <x v="7"/>
    </i>
    <i r="1">
      <x v="8"/>
    </i>
    <i r="1">
      <x v="9"/>
    </i>
    <i>
      <x v="8"/>
    </i>
    <i r="1">
      <x v="8"/>
    </i>
    <i>
      <x v="9"/>
    </i>
    <i r="1">
      <x v="8"/>
    </i>
    <i>
      <x v="10"/>
    </i>
    <i r="1">
      <x/>
    </i>
    <i r="1">
      <x v="1"/>
    </i>
    <i r="1">
      <x v="3"/>
    </i>
    <i r="1">
      <x v="5"/>
    </i>
    <i r="1">
      <x v="7"/>
    </i>
    <i r="1">
      <x v="8"/>
    </i>
    <i r="1">
      <x v="9"/>
    </i>
    <i r="1">
      <x v="11"/>
    </i>
    <i>
      <x v="11"/>
    </i>
    <i r="1">
      <x/>
    </i>
    <i r="1">
      <x v="3"/>
    </i>
    <i r="1">
      <x v="4"/>
    </i>
    <i r="1">
      <x v="5"/>
    </i>
    <i r="1">
      <x v="7"/>
    </i>
    <i r="1">
      <x v="8"/>
    </i>
    <i r="1">
      <x v="9"/>
    </i>
    <i r="1">
      <x v="10"/>
    </i>
    <i r="1">
      <x v="11"/>
    </i>
    <i>
      <x v="12"/>
    </i>
    <i r="1">
      <x v="11"/>
    </i>
    <i>
      <x v="13"/>
    </i>
    <i r="1">
      <x v="2"/>
    </i>
    <i r="1">
      <x v="3"/>
    </i>
    <i r="1">
      <x v="5"/>
    </i>
    <i r="1">
      <x v="6"/>
    </i>
    <i r="1">
      <x v="7"/>
    </i>
    <i r="1">
      <x v="9"/>
    </i>
    <i r="1">
      <x v="10"/>
    </i>
    <i r="1">
      <x v="11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812442-93C3-4459-82FD-68355A523A27}" name="Table1" displayName="Table1" ref="A1:C50" totalsRowShown="0">
  <autoFilter ref="A1:C50" xr:uid="{1EFB6C43-D627-45FF-BB49-F48908134C43}"/>
  <sortState xmlns:xlrd2="http://schemas.microsoft.com/office/spreadsheetml/2017/richdata2" ref="A2:C50">
    <sortCondition descending="1" ref="C1:C50"/>
  </sortState>
  <tableColumns count="3">
    <tableColumn id="1" xr3:uid="{8DE99F35-3CA3-4A73-8A39-7C170BC2FE74}" name="DEPARTMENT"/>
    <tableColumn id="2" xr3:uid="{FD6B15A5-5F51-4561-A630-E9FD4FFB2A41}" name="EQUIPMENT CLASS"/>
    <tableColumn id="3" xr3:uid="{F68E8FAD-E5A8-4175-9FE3-94D82BF556F0}" name="EQUIPMENT COUNT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workbookViewId="0">
      <selection activeCell="H16" sqref="H16"/>
    </sheetView>
  </sheetViews>
  <sheetFormatPr defaultRowHeight="15" x14ac:dyDescent="0.25"/>
  <cols>
    <col min="1" max="1" width="29.42578125" bestFit="1" customWidth="1"/>
    <col min="2" max="2" width="26.5703125" bestFit="1" customWidth="1"/>
    <col min="3" max="3" width="20.42578125" style="1" customWidth="1"/>
    <col min="6" max="6" width="9.42578125" bestFit="1" customWidth="1"/>
  </cols>
  <sheetData>
    <row r="1" spans="1:7" x14ac:dyDescent="0.25">
      <c r="A1" t="s">
        <v>26</v>
      </c>
      <c r="B1" t="s">
        <v>27</v>
      </c>
      <c r="C1" s="1" t="s">
        <v>28</v>
      </c>
    </row>
    <row r="2" spans="1:7" x14ac:dyDescent="0.25">
      <c r="A2" t="s">
        <v>23</v>
      </c>
      <c r="B2" t="s">
        <v>24</v>
      </c>
      <c r="C2" s="1">
        <v>379</v>
      </c>
    </row>
    <row r="3" spans="1:7" x14ac:dyDescent="0.25">
      <c r="A3" t="s">
        <v>23</v>
      </c>
      <c r="B3" t="s">
        <v>25</v>
      </c>
      <c r="C3" s="1">
        <v>276</v>
      </c>
    </row>
    <row r="4" spans="1:7" x14ac:dyDescent="0.25">
      <c r="A4" t="s">
        <v>23</v>
      </c>
      <c r="B4" t="s">
        <v>10</v>
      </c>
      <c r="C4" s="1">
        <v>248</v>
      </c>
    </row>
    <row r="5" spans="1:7" x14ac:dyDescent="0.25">
      <c r="A5" t="s">
        <v>23</v>
      </c>
      <c r="B5" t="s">
        <v>8</v>
      </c>
      <c r="C5" s="1">
        <v>98</v>
      </c>
    </row>
    <row r="6" spans="1:7" x14ac:dyDescent="0.25">
      <c r="A6" t="s">
        <v>23</v>
      </c>
      <c r="B6" t="s">
        <v>3</v>
      </c>
      <c r="C6" s="1">
        <v>93</v>
      </c>
    </row>
    <row r="7" spans="1:7" x14ac:dyDescent="0.25">
      <c r="A7" t="s">
        <v>23</v>
      </c>
      <c r="B7" t="s">
        <v>4</v>
      </c>
      <c r="C7" s="1">
        <v>53</v>
      </c>
    </row>
    <row r="8" spans="1:7" x14ac:dyDescent="0.25">
      <c r="A8" t="s">
        <v>12</v>
      </c>
      <c r="B8" t="s">
        <v>1</v>
      </c>
      <c r="C8" s="1">
        <v>48</v>
      </c>
      <c r="F8" s="5" t="s">
        <v>30</v>
      </c>
      <c r="G8">
        <f>SUM(C2:C50)</f>
        <v>1582</v>
      </c>
    </row>
    <row r="9" spans="1:7" x14ac:dyDescent="0.25">
      <c r="A9" t="s">
        <v>16</v>
      </c>
      <c r="B9" t="s">
        <v>19</v>
      </c>
      <c r="C9" s="1">
        <v>46</v>
      </c>
      <c r="F9" s="5" t="s">
        <v>31</v>
      </c>
      <c r="G9">
        <f>AVERAGE(C2:C50)</f>
        <v>32.285714285714285</v>
      </c>
    </row>
    <row r="10" spans="1:7" x14ac:dyDescent="0.25">
      <c r="A10" t="s">
        <v>9</v>
      </c>
      <c r="B10" t="s">
        <v>10</v>
      </c>
      <c r="C10" s="1">
        <v>42</v>
      </c>
      <c r="F10" s="5" t="s">
        <v>32</v>
      </c>
      <c r="G10">
        <f>MIN(C2:C50)</f>
        <v>1</v>
      </c>
    </row>
    <row r="11" spans="1:7" x14ac:dyDescent="0.25">
      <c r="A11" t="s">
        <v>23</v>
      </c>
      <c r="B11" t="s">
        <v>1</v>
      </c>
      <c r="C11" s="1">
        <v>37</v>
      </c>
      <c r="F11" s="5" t="s">
        <v>33</v>
      </c>
      <c r="G11">
        <f>MAX(C2:C50)</f>
        <v>379</v>
      </c>
    </row>
    <row r="12" spans="1:7" x14ac:dyDescent="0.25">
      <c r="A12" t="s">
        <v>23</v>
      </c>
      <c r="B12" t="s">
        <v>7</v>
      </c>
      <c r="C12" s="1">
        <v>32</v>
      </c>
      <c r="F12" s="5" t="s">
        <v>29</v>
      </c>
      <c r="G12">
        <f>COUNT(C2:C50)</f>
        <v>49</v>
      </c>
    </row>
    <row r="13" spans="1:7" x14ac:dyDescent="0.25">
      <c r="A13" t="s">
        <v>12</v>
      </c>
      <c r="B13" t="s">
        <v>4</v>
      </c>
      <c r="C13" s="1">
        <v>27</v>
      </c>
    </row>
    <row r="14" spans="1:7" x14ac:dyDescent="0.25">
      <c r="A14" t="s">
        <v>12</v>
      </c>
      <c r="B14" t="s">
        <v>3</v>
      </c>
      <c r="C14" s="1">
        <v>24</v>
      </c>
    </row>
    <row r="15" spans="1:7" x14ac:dyDescent="0.25">
      <c r="A15" t="s">
        <v>2</v>
      </c>
      <c r="B15" t="s">
        <v>1</v>
      </c>
      <c r="C15" s="1">
        <v>23</v>
      </c>
    </row>
    <row r="16" spans="1:7" x14ac:dyDescent="0.25">
      <c r="A16" t="s">
        <v>2</v>
      </c>
      <c r="B16" t="s">
        <v>3</v>
      </c>
      <c r="C16" s="1">
        <v>21</v>
      </c>
    </row>
    <row r="17" spans="1:3" x14ac:dyDescent="0.25">
      <c r="A17" t="s">
        <v>16</v>
      </c>
      <c r="B17" t="s">
        <v>0</v>
      </c>
      <c r="C17" s="1">
        <v>20</v>
      </c>
    </row>
    <row r="18" spans="1:3" x14ac:dyDescent="0.25">
      <c r="A18" t="s">
        <v>15</v>
      </c>
      <c r="B18" t="s">
        <v>7</v>
      </c>
      <c r="C18" s="1">
        <v>15</v>
      </c>
    </row>
    <row r="19" spans="1:3" x14ac:dyDescent="0.25">
      <c r="A19" t="s">
        <v>9</v>
      </c>
      <c r="B19" t="s">
        <v>1</v>
      </c>
      <c r="C19" s="1">
        <v>11</v>
      </c>
    </row>
    <row r="20" spans="1:3" x14ac:dyDescent="0.25">
      <c r="A20" t="s">
        <v>22</v>
      </c>
      <c r="B20" t="s">
        <v>7</v>
      </c>
      <c r="C20" s="1">
        <v>11</v>
      </c>
    </row>
    <row r="21" spans="1:3" x14ac:dyDescent="0.25">
      <c r="A21" t="s">
        <v>12</v>
      </c>
      <c r="B21" t="s">
        <v>13</v>
      </c>
      <c r="C21" s="1">
        <v>9</v>
      </c>
    </row>
    <row r="22" spans="1:3" x14ac:dyDescent="0.25">
      <c r="A22" t="s">
        <v>16</v>
      </c>
      <c r="B22" t="s">
        <v>17</v>
      </c>
      <c r="C22" s="1">
        <v>8</v>
      </c>
    </row>
    <row r="23" spans="1:3" x14ac:dyDescent="0.25">
      <c r="A23" t="s">
        <v>15</v>
      </c>
      <c r="B23" t="s">
        <v>25</v>
      </c>
      <c r="C23" s="1">
        <v>7</v>
      </c>
    </row>
    <row r="24" spans="1:3" x14ac:dyDescent="0.25">
      <c r="A24" t="s">
        <v>15</v>
      </c>
      <c r="B24" t="s">
        <v>1</v>
      </c>
      <c r="C24" s="1">
        <v>6</v>
      </c>
    </row>
    <row r="25" spans="1:3" x14ac:dyDescent="0.25">
      <c r="A25" t="s">
        <v>15</v>
      </c>
      <c r="B25" t="s">
        <v>3</v>
      </c>
      <c r="C25" s="1">
        <v>5</v>
      </c>
    </row>
    <row r="26" spans="1:3" x14ac:dyDescent="0.25">
      <c r="A26" t="s">
        <v>23</v>
      </c>
      <c r="B26" t="s">
        <v>13</v>
      </c>
      <c r="C26" s="1">
        <v>5</v>
      </c>
    </row>
    <row r="27" spans="1:3" x14ac:dyDescent="0.25">
      <c r="A27" t="s">
        <v>16</v>
      </c>
      <c r="B27" t="s">
        <v>18</v>
      </c>
      <c r="C27" s="1">
        <v>4</v>
      </c>
    </row>
    <row r="28" spans="1:3" x14ac:dyDescent="0.25">
      <c r="A28" t="s">
        <v>6</v>
      </c>
      <c r="B28" t="s">
        <v>3</v>
      </c>
      <c r="C28" s="1">
        <v>3</v>
      </c>
    </row>
    <row r="29" spans="1:3" x14ac:dyDescent="0.25">
      <c r="A29" t="s">
        <v>16</v>
      </c>
      <c r="B29" t="s">
        <v>3</v>
      </c>
      <c r="C29" s="1">
        <v>3</v>
      </c>
    </row>
    <row r="30" spans="1:3" x14ac:dyDescent="0.25">
      <c r="A30" t="s">
        <v>22</v>
      </c>
      <c r="B30" t="s">
        <v>4</v>
      </c>
      <c r="C30" s="1">
        <v>3</v>
      </c>
    </row>
    <row r="31" spans="1:3" x14ac:dyDescent="0.25">
      <c r="A31" t="s">
        <v>5</v>
      </c>
      <c r="B31" t="s">
        <v>1</v>
      </c>
      <c r="C31" s="1">
        <v>2</v>
      </c>
    </row>
    <row r="32" spans="1:3" x14ac:dyDescent="0.25">
      <c r="A32" t="s">
        <v>6</v>
      </c>
      <c r="B32" t="s">
        <v>7</v>
      </c>
      <c r="C32" s="1">
        <v>2</v>
      </c>
    </row>
    <row r="33" spans="1:3" x14ac:dyDescent="0.25">
      <c r="A33" t="s">
        <v>9</v>
      </c>
      <c r="B33" t="s">
        <v>7</v>
      </c>
      <c r="C33" s="1">
        <v>2</v>
      </c>
    </row>
    <row r="34" spans="1:3" x14ac:dyDescent="0.25">
      <c r="A34" t="s">
        <v>15</v>
      </c>
      <c r="B34" t="s">
        <v>4</v>
      </c>
      <c r="C34" s="1">
        <v>2</v>
      </c>
    </row>
    <row r="35" spans="1:3" x14ac:dyDescent="0.25">
      <c r="A35" t="s">
        <v>21</v>
      </c>
      <c r="B35" t="s">
        <v>1</v>
      </c>
      <c r="C35" s="1">
        <v>2</v>
      </c>
    </row>
    <row r="36" spans="1:3" x14ac:dyDescent="0.25">
      <c r="A36" t="s">
        <v>2</v>
      </c>
      <c r="B36" t="s">
        <v>4</v>
      </c>
      <c r="C36" s="1">
        <v>1</v>
      </c>
    </row>
    <row r="37" spans="1:3" x14ac:dyDescent="0.25">
      <c r="A37" t="s">
        <v>6</v>
      </c>
      <c r="B37" t="s">
        <v>8</v>
      </c>
      <c r="C37" s="1">
        <v>1</v>
      </c>
    </row>
    <row r="38" spans="1:3" x14ac:dyDescent="0.25">
      <c r="A38" t="s">
        <v>9</v>
      </c>
      <c r="B38" t="s">
        <v>4</v>
      </c>
      <c r="C38" s="1">
        <v>1</v>
      </c>
    </row>
    <row r="39" spans="1:3" x14ac:dyDescent="0.25">
      <c r="A39" t="s">
        <v>11</v>
      </c>
      <c r="B39" t="s">
        <v>4</v>
      </c>
      <c r="C39" s="1">
        <v>1</v>
      </c>
    </row>
    <row r="40" spans="1:3" x14ac:dyDescent="0.25">
      <c r="A40" t="s">
        <v>12</v>
      </c>
      <c r="B40" t="s">
        <v>7</v>
      </c>
      <c r="C40" s="1">
        <v>1</v>
      </c>
    </row>
    <row r="41" spans="1:3" x14ac:dyDescent="0.25">
      <c r="A41" t="s">
        <v>14</v>
      </c>
      <c r="B41" t="s">
        <v>7</v>
      </c>
      <c r="C41" s="1">
        <v>1</v>
      </c>
    </row>
    <row r="42" spans="1:3" x14ac:dyDescent="0.25">
      <c r="A42" t="s">
        <v>16</v>
      </c>
      <c r="B42" t="s">
        <v>1</v>
      </c>
      <c r="C42" s="1">
        <v>1</v>
      </c>
    </row>
    <row r="43" spans="1:3" x14ac:dyDescent="0.25">
      <c r="A43" t="s">
        <v>16</v>
      </c>
      <c r="B43" t="s">
        <v>8</v>
      </c>
      <c r="C43" s="1">
        <v>1</v>
      </c>
    </row>
    <row r="44" spans="1:3" x14ac:dyDescent="0.25">
      <c r="A44" t="s">
        <v>16</v>
      </c>
      <c r="B44" t="s">
        <v>4</v>
      </c>
      <c r="C44" s="1">
        <v>1</v>
      </c>
    </row>
    <row r="45" spans="1:3" x14ac:dyDescent="0.25">
      <c r="A45" t="s">
        <v>16</v>
      </c>
      <c r="B45" t="s">
        <v>20</v>
      </c>
      <c r="C45" s="1">
        <v>1</v>
      </c>
    </row>
    <row r="46" spans="1:3" x14ac:dyDescent="0.25">
      <c r="A46" t="s">
        <v>21</v>
      </c>
      <c r="B46" t="s">
        <v>19</v>
      </c>
      <c r="C46" s="1">
        <v>1</v>
      </c>
    </row>
    <row r="47" spans="1:3" x14ac:dyDescent="0.25">
      <c r="A47" t="s">
        <v>21</v>
      </c>
      <c r="B47" t="s">
        <v>7</v>
      </c>
      <c r="C47" s="1">
        <v>1</v>
      </c>
    </row>
    <row r="48" spans="1:3" x14ac:dyDescent="0.25">
      <c r="A48" t="s">
        <v>21</v>
      </c>
      <c r="B48" t="s">
        <v>4</v>
      </c>
      <c r="C48" s="1">
        <v>1</v>
      </c>
    </row>
    <row r="49" spans="1:3" x14ac:dyDescent="0.25">
      <c r="A49" t="s">
        <v>22</v>
      </c>
      <c r="B49" t="s">
        <v>3</v>
      </c>
      <c r="C49" s="1">
        <v>1</v>
      </c>
    </row>
    <row r="50" spans="1:3" x14ac:dyDescent="0.25">
      <c r="A50" t="s">
        <v>22</v>
      </c>
      <c r="B50" t="s">
        <v>13</v>
      </c>
      <c r="C50" s="1">
        <v>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B4E11-19E4-4BDA-963F-D68CD285AD22}">
  <dimension ref="A3:B16"/>
  <sheetViews>
    <sheetView workbookViewId="0">
      <selection activeCell="E6" sqref="E6"/>
    </sheetView>
  </sheetViews>
  <sheetFormatPr defaultRowHeight="15" x14ac:dyDescent="0.25"/>
  <cols>
    <col min="1" max="1" width="29.42578125" bestFit="1" customWidth="1"/>
    <col min="2" max="2" width="25.85546875" bestFit="1" customWidth="1"/>
  </cols>
  <sheetData>
    <row r="3" spans="1:2" x14ac:dyDescent="0.25">
      <c r="A3" s="2" t="s">
        <v>34</v>
      </c>
      <c r="B3" t="s">
        <v>36</v>
      </c>
    </row>
    <row r="4" spans="1:2" x14ac:dyDescent="0.25">
      <c r="A4" s="3" t="s">
        <v>23</v>
      </c>
      <c r="B4">
        <v>1221</v>
      </c>
    </row>
    <row r="5" spans="1:2" x14ac:dyDescent="0.25">
      <c r="A5" s="3" t="s">
        <v>12</v>
      </c>
      <c r="B5">
        <v>109</v>
      </c>
    </row>
    <row r="6" spans="1:2" x14ac:dyDescent="0.25">
      <c r="A6" s="3" t="s">
        <v>16</v>
      </c>
      <c r="B6">
        <v>85</v>
      </c>
    </row>
    <row r="7" spans="1:2" x14ac:dyDescent="0.25">
      <c r="A7" s="3" t="s">
        <v>9</v>
      </c>
      <c r="B7">
        <v>56</v>
      </c>
    </row>
    <row r="8" spans="1:2" x14ac:dyDescent="0.25">
      <c r="A8" s="3" t="s">
        <v>2</v>
      </c>
      <c r="B8">
        <v>45</v>
      </c>
    </row>
    <row r="9" spans="1:2" x14ac:dyDescent="0.25">
      <c r="A9" s="3" t="s">
        <v>15</v>
      </c>
      <c r="B9">
        <v>35</v>
      </c>
    </row>
    <row r="10" spans="1:2" x14ac:dyDescent="0.25">
      <c r="A10" s="3" t="s">
        <v>22</v>
      </c>
      <c r="B10">
        <v>16</v>
      </c>
    </row>
    <row r="11" spans="1:2" x14ac:dyDescent="0.25">
      <c r="A11" s="3" t="s">
        <v>6</v>
      </c>
      <c r="B11">
        <v>6</v>
      </c>
    </row>
    <row r="12" spans="1:2" x14ac:dyDescent="0.25">
      <c r="A12" s="3" t="s">
        <v>21</v>
      </c>
      <c r="B12">
        <v>5</v>
      </c>
    </row>
    <row r="13" spans="1:2" x14ac:dyDescent="0.25">
      <c r="A13" s="3" t="s">
        <v>5</v>
      </c>
      <c r="B13">
        <v>2</v>
      </c>
    </row>
    <row r="14" spans="1:2" x14ac:dyDescent="0.25">
      <c r="A14" s="3" t="s">
        <v>11</v>
      </c>
      <c r="B14">
        <v>1</v>
      </c>
    </row>
    <row r="15" spans="1:2" x14ac:dyDescent="0.25">
      <c r="A15" s="3" t="s">
        <v>14</v>
      </c>
      <c r="B15">
        <v>1</v>
      </c>
    </row>
    <row r="16" spans="1:2" x14ac:dyDescent="0.25">
      <c r="A16" s="3" t="s">
        <v>35</v>
      </c>
      <c r="B16">
        <v>1582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75468-4E2C-49B1-9280-1DED9E052B02}">
  <dimension ref="A3:B56"/>
  <sheetViews>
    <sheetView workbookViewId="0">
      <selection activeCell="D10" sqref="D10"/>
    </sheetView>
  </sheetViews>
  <sheetFormatPr defaultRowHeight="15" x14ac:dyDescent="0.25"/>
  <cols>
    <col min="1" max="1" width="31.28515625" bestFit="1" customWidth="1"/>
    <col min="2" max="2" width="25.85546875" bestFit="1" customWidth="1"/>
    <col min="3" max="3" width="11" bestFit="1" customWidth="1"/>
    <col min="4" max="4" width="26.5703125" bestFit="1" customWidth="1"/>
    <col min="5" max="5" width="13.7109375" bestFit="1" customWidth="1"/>
    <col min="6" max="6" width="6.42578125" bestFit="1" customWidth="1"/>
    <col min="7" max="7" width="13.28515625" bestFit="1" customWidth="1"/>
    <col min="8" max="8" width="4.7109375" bestFit="1" customWidth="1"/>
    <col min="9" max="9" width="4.42578125" bestFit="1" customWidth="1"/>
    <col min="10" max="10" width="18.5703125" bestFit="1" customWidth="1"/>
    <col min="11" max="11" width="16.7109375" bestFit="1" customWidth="1"/>
    <col min="12" max="12" width="4.85546875" bestFit="1" customWidth="1"/>
    <col min="13" max="13" width="16.42578125" bestFit="1" customWidth="1"/>
    <col min="14" max="14" width="16.85546875" bestFit="1" customWidth="1"/>
    <col min="15" max="15" width="26" bestFit="1" customWidth="1"/>
    <col min="16" max="16" width="11.28515625" bestFit="1" customWidth="1"/>
    <col min="17" max="17" width="28.5703125" bestFit="1" customWidth="1"/>
    <col min="18" max="18" width="31.7109375" bestFit="1" customWidth="1"/>
    <col min="19" max="19" width="20.28515625" bestFit="1" customWidth="1"/>
    <col min="20" max="20" width="13.7109375" bestFit="1" customWidth="1"/>
    <col min="21" max="21" width="6.42578125" bestFit="1" customWidth="1"/>
    <col min="22" max="22" width="4.7109375" bestFit="1" customWidth="1"/>
    <col min="23" max="23" width="4.42578125" bestFit="1" customWidth="1"/>
    <col min="24" max="24" width="23.42578125" bestFit="1" customWidth="1"/>
    <col min="25" max="25" width="25.5703125" bestFit="1" customWidth="1"/>
    <col min="26" max="26" width="28.7109375" bestFit="1" customWidth="1"/>
    <col min="27" max="27" width="26.5703125" bestFit="1" customWidth="1"/>
    <col min="28" max="28" width="13.7109375" bestFit="1" customWidth="1"/>
    <col min="29" max="29" width="6.42578125" bestFit="1" customWidth="1"/>
    <col min="30" max="30" width="4.7109375" bestFit="1" customWidth="1"/>
    <col min="31" max="31" width="4.42578125" bestFit="1" customWidth="1"/>
    <col min="32" max="32" width="15.5703125" bestFit="1" customWidth="1"/>
    <col min="33" max="33" width="15.7109375" bestFit="1" customWidth="1"/>
    <col min="34" max="34" width="13.7109375" bestFit="1" customWidth="1"/>
    <col min="35" max="35" width="16.85546875" bestFit="1" customWidth="1"/>
    <col min="36" max="36" width="26" bestFit="1" customWidth="1"/>
    <col min="37" max="37" width="18.5703125" bestFit="1" customWidth="1"/>
    <col min="38" max="38" width="16.7109375" bestFit="1" customWidth="1"/>
    <col min="39" max="39" width="16.42578125" bestFit="1" customWidth="1"/>
    <col min="40" max="40" width="6.42578125" bestFit="1" customWidth="1"/>
    <col min="41" max="41" width="4.7109375" bestFit="1" customWidth="1"/>
    <col min="42" max="42" width="18.85546875" bestFit="1" customWidth="1"/>
    <col min="43" max="43" width="22.7109375" bestFit="1" customWidth="1"/>
    <col min="44" max="44" width="6.42578125" bestFit="1" customWidth="1"/>
    <col min="45" max="45" width="4.7109375" bestFit="1" customWidth="1"/>
    <col min="46" max="46" width="4.42578125" bestFit="1" customWidth="1"/>
    <col min="47" max="47" width="26" bestFit="1" customWidth="1"/>
    <col min="48" max="48" width="21" bestFit="1" customWidth="1"/>
    <col min="49" max="49" width="13.7109375" bestFit="1" customWidth="1"/>
    <col min="50" max="50" width="4.7109375" bestFit="1" customWidth="1"/>
    <col min="51" max="51" width="4.42578125" bestFit="1" customWidth="1"/>
    <col min="52" max="52" width="24.140625" bestFit="1" customWidth="1"/>
    <col min="53" max="53" width="16" bestFit="1" customWidth="1"/>
    <col min="54" max="54" width="11" bestFit="1" customWidth="1"/>
    <col min="55" max="55" width="13.28515625" bestFit="1" customWidth="1"/>
    <col min="56" max="56" width="26.5703125" bestFit="1" customWidth="1"/>
    <col min="57" max="57" width="13.7109375" bestFit="1" customWidth="1"/>
    <col min="58" max="58" width="6.42578125" bestFit="1" customWidth="1"/>
    <col min="59" max="59" width="4.7109375" bestFit="1" customWidth="1"/>
    <col min="60" max="60" width="10.5703125" bestFit="1" customWidth="1"/>
    <col min="61" max="61" width="4.42578125" bestFit="1" customWidth="1"/>
    <col min="62" max="62" width="19.140625" bestFit="1" customWidth="1"/>
    <col min="63" max="63" width="11.28515625" bestFit="1" customWidth="1"/>
  </cols>
  <sheetData>
    <row r="3" spans="1:2" x14ac:dyDescent="0.25">
      <c r="A3" s="2" t="s">
        <v>34</v>
      </c>
      <c r="B3" t="s">
        <v>36</v>
      </c>
    </row>
    <row r="4" spans="1:2" x14ac:dyDescent="0.25">
      <c r="A4" s="3" t="s">
        <v>23</v>
      </c>
      <c r="B4">
        <v>1221</v>
      </c>
    </row>
    <row r="5" spans="1:2" x14ac:dyDescent="0.25">
      <c r="A5" s="3" t="s">
        <v>12</v>
      </c>
      <c r="B5">
        <v>109</v>
      </c>
    </row>
    <row r="6" spans="1:2" x14ac:dyDescent="0.25">
      <c r="A6" s="4" t="s">
        <v>1</v>
      </c>
      <c r="B6">
        <v>48</v>
      </c>
    </row>
    <row r="7" spans="1:2" x14ac:dyDescent="0.25">
      <c r="A7" s="4" t="s">
        <v>4</v>
      </c>
      <c r="B7">
        <v>27</v>
      </c>
    </row>
    <row r="8" spans="1:2" x14ac:dyDescent="0.25">
      <c r="A8" s="4" t="s">
        <v>3</v>
      </c>
      <c r="B8">
        <v>24</v>
      </c>
    </row>
    <row r="9" spans="1:2" x14ac:dyDescent="0.25">
      <c r="A9" s="4" t="s">
        <v>13</v>
      </c>
      <c r="B9">
        <v>9</v>
      </c>
    </row>
    <row r="10" spans="1:2" x14ac:dyDescent="0.25">
      <c r="A10" s="4" t="s">
        <v>7</v>
      </c>
      <c r="B10">
        <v>1</v>
      </c>
    </row>
    <row r="11" spans="1:2" x14ac:dyDescent="0.25">
      <c r="A11" s="3" t="s">
        <v>16</v>
      </c>
      <c r="B11">
        <v>85</v>
      </c>
    </row>
    <row r="12" spans="1:2" x14ac:dyDescent="0.25">
      <c r="A12" s="4" t="s">
        <v>19</v>
      </c>
      <c r="B12">
        <v>46</v>
      </c>
    </row>
    <row r="13" spans="1:2" x14ac:dyDescent="0.25">
      <c r="A13" s="4" t="s">
        <v>0</v>
      </c>
      <c r="B13">
        <v>20</v>
      </c>
    </row>
    <row r="14" spans="1:2" x14ac:dyDescent="0.25">
      <c r="A14" s="4" t="s">
        <v>17</v>
      </c>
      <c r="B14">
        <v>8</v>
      </c>
    </row>
    <row r="15" spans="1:2" x14ac:dyDescent="0.25">
      <c r="A15" s="4" t="s">
        <v>18</v>
      </c>
      <c r="B15">
        <v>4</v>
      </c>
    </row>
    <row r="16" spans="1:2" x14ac:dyDescent="0.25">
      <c r="A16" s="4" t="s">
        <v>3</v>
      </c>
      <c r="B16">
        <v>3</v>
      </c>
    </row>
    <row r="17" spans="1:2" x14ac:dyDescent="0.25">
      <c r="A17" s="4" t="s">
        <v>20</v>
      </c>
      <c r="B17">
        <v>1</v>
      </c>
    </row>
    <row r="18" spans="1:2" x14ac:dyDescent="0.25">
      <c r="A18" s="4" t="s">
        <v>1</v>
      </c>
      <c r="B18">
        <v>1</v>
      </c>
    </row>
    <row r="19" spans="1:2" x14ac:dyDescent="0.25">
      <c r="A19" s="4" t="s">
        <v>4</v>
      </c>
      <c r="B19">
        <v>1</v>
      </c>
    </row>
    <row r="20" spans="1:2" x14ac:dyDescent="0.25">
      <c r="A20" s="4" t="s">
        <v>8</v>
      </c>
      <c r="B20">
        <v>1</v>
      </c>
    </row>
    <row r="21" spans="1:2" x14ac:dyDescent="0.25">
      <c r="A21" s="3" t="s">
        <v>9</v>
      </c>
      <c r="B21">
        <v>56</v>
      </c>
    </row>
    <row r="22" spans="1:2" x14ac:dyDescent="0.25">
      <c r="A22" s="4" t="s">
        <v>10</v>
      </c>
      <c r="B22">
        <v>42</v>
      </c>
    </row>
    <row r="23" spans="1:2" x14ac:dyDescent="0.25">
      <c r="A23" s="4" t="s">
        <v>1</v>
      </c>
      <c r="B23">
        <v>11</v>
      </c>
    </row>
    <row r="24" spans="1:2" x14ac:dyDescent="0.25">
      <c r="A24" s="4" t="s">
        <v>7</v>
      </c>
      <c r="B24">
        <v>2</v>
      </c>
    </row>
    <row r="25" spans="1:2" x14ac:dyDescent="0.25">
      <c r="A25" s="4" t="s">
        <v>4</v>
      </c>
      <c r="B25">
        <v>1</v>
      </c>
    </row>
    <row r="26" spans="1:2" x14ac:dyDescent="0.25">
      <c r="A26" s="3" t="s">
        <v>2</v>
      </c>
      <c r="B26">
        <v>45</v>
      </c>
    </row>
    <row r="27" spans="1:2" x14ac:dyDescent="0.25">
      <c r="A27" s="4" t="s">
        <v>1</v>
      </c>
      <c r="B27">
        <v>23</v>
      </c>
    </row>
    <row r="28" spans="1:2" x14ac:dyDescent="0.25">
      <c r="A28" s="4" t="s">
        <v>3</v>
      </c>
      <c r="B28">
        <v>21</v>
      </c>
    </row>
    <row r="29" spans="1:2" x14ac:dyDescent="0.25">
      <c r="A29" s="4" t="s">
        <v>4</v>
      </c>
      <c r="B29">
        <v>1</v>
      </c>
    </row>
    <row r="30" spans="1:2" x14ac:dyDescent="0.25">
      <c r="A30" s="3" t="s">
        <v>15</v>
      </c>
      <c r="B30">
        <v>35</v>
      </c>
    </row>
    <row r="31" spans="1:2" x14ac:dyDescent="0.25">
      <c r="A31" s="4" t="s">
        <v>7</v>
      </c>
      <c r="B31">
        <v>15</v>
      </c>
    </row>
    <row r="32" spans="1:2" x14ac:dyDescent="0.25">
      <c r="A32" s="4" t="s">
        <v>25</v>
      </c>
      <c r="B32">
        <v>7</v>
      </c>
    </row>
    <row r="33" spans="1:2" x14ac:dyDescent="0.25">
      <c r="A33" s="4" t="s">
        <v>1</v>
      </c>
      <c r="B33">
        <v>6</v>
      </c>
    </row>
    <row r="34" spans="1:2" x14ac:dyDescent="0.25">
      <c r="A34" s="4" t="s">
        <v>3</v>
      </c>
      <c r="B34">
        <v>5</v>
      </c>
    </row>
    <row r="35" spans="1:2" x14ac:dyDescent="0.25">
      <c r="A35" s="4" t="s">
        <v>4</v>
      </c>
      <c r="B35">
        <v>2</v>
      </c>
    </row>
    <row r="36" spans="1:2" x14ac:dyDescent="0.25">
      <c r="A36" s="3" t="s">
        <v>22</v>
      </c>
      <c r="B36">
        <v>16</v>
      </c>
    </row>
    <row r="37" spans="1:2" x14ac:dyDescent="0.25">
      <c r="A37" s="4" t="s">
        <v>7</v>
      </c>
      <c r="B37">
        <v>11</v>
      </c>
    </row>
    <row r="38" spans="1:2" x14ac:dyDescent="0.25">
      <c r="A38" s="4" t="s">
        <v>4</v>
      </c>
      <c r="B38">
        <v>3</v>
      </c>
    </row>
    <row r="39" spans="1:2" x14ac:dyDescent="0.25">
      <c r="A39" s="4" t="s">
        <v>13</v>
      </c>
      <c r="B39">
        <v>1</v>
      </c>
    </row>
    <row r="40" spans="1:2" x14ac:dyDescent="0.25">
      <c r="A40" s="4" t="s">
        <v>3</v>
      </c>
      <c r="B40">
        <v>1</v>
      </c>
    </row>
    <row r="41" spans="1:2" x14ac:dyDescent="0.25">
      <c r="A41" s="3" t="s">
        <v>6</v>
      </c>
      <c r="B41">
        <v>6</v>
      </c>
    </row>
    <row r="42" spans="1:2" x14ac:dyDescent="0.25">
      <c r="A42" s="4" t="s">
        <v>3</v>
      </c>
      <c r="B42">
        <v>3</v>
      </c>
    </row>
    <row r="43" spans="1:2" x14ac:dyDescent="0.25">
      <c r="A43" s="4" t="s">
        <v>7</v>
      </c>
      <c r="B43">
        <v>2</v>
      </c>
    </row>
    <row r="44" spans="1:2" x14ac:dyDescent="0.25">
      <c r="A44" s="4" t="s">
        <v>8</v>
      </c>
      <c r="B44">
        <v>1</v>
      </c>
    </row>
    <row r="45" spans="1:2" x14ac:dyDescent="0.25">
      <c r="A45" s="3" t="s">
        <v>21</v>
      </c>
      <c r="B45">
        <v>5</v>
      </c>
    </row>
    <row r="46" spans="1:2" x14ac:dyDescent="0.25">
      <c r="A46" s="4" t="s">
        <v>1</v>
      </c>
      <c r="B46">
        <v>2</v>
      </c>
    </row>
    <row r="47" spans="1:2" x14ac:dyDescent="0.25">
      <c r="A47" s="4" t="s">
        <v>19</v>
      </c>
      <c r="B47">
        <v>1</v>
      </c>
    </row>
    <row r="48" spans="1:2" x14ac:dyDescent="0.25">
      <c r="A48" s="4" t="s">
        <v>7</v>
      </c>
      <c r="B48">
        <v>1</v>
      </c>
    </row>
    <row r="49" spans="1:2" x14ac:dyDescent="0.25">
      <c r="A49" s="4" t="s">
        <v>4</v>
      </c>
      <c r="B49">
        <v>1</v>
      </c>
    </row>
    <row r="50" spans="1:2" x14ac:dyDescent="0.25">
      <c r="A50" s="3" t="s">
        <v>5</v>
      </c>
      <c r="B50">
        <v>2</v>
      </c>
    </row>
    <row r="51" spans="1:2" x14ac:dyDescent="0.25">
      <c r="A51" s="4" t="s">
        <v>1</v>
      </c>
      <c r="B51">
        <v>2</v>
      </c>
    </row>
    <row r="52" spans="1:2" x14ac:dyDescent="0.25">
      <c r="A52" s="3" t="s">
        <v>11</v>
      </c>
      <c r="B52">
        <v>1</v>
      </c>
    </row>
    <row r="53" spans="1:2" x14ac:dyDescent="0.25">
      <c r="A53" s="4" t="s">
        <v>4</v>
      </c>
      <c r="B53">
        <v>1</v>
      </c>
    </row>
    <row r="54" spans="1:2" x14ac:dyDescent="0.25">
      <c r="A54" s="3" t="s">
        <v>14</v>
      </c>
      <c r="B54">
        <v>1</v>
      </c>
    </row>
    <row r="55" spans="1:2" x14ac:dyDescent="0.25">
      <c r="A55" s="4" t="s">
        <v>7</v>
      </c>
      <c r="B55">
        <v>1</v>
      </c>
    </row>
    <row r="56" spans="1:2" x14ac:dyDescent="0.25">
      <c r="A56" s="3" t="s">
        <v>35</v>
      </c>
      <c r="B56">
        <v>1582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739DE-021F-4667-A0C7-E5775BA05887}">
  <dimension ref="A3:B64"/>
  <sheetViews>
    <sheetView tabSelected="1" workbookViewId="0">
      <selection activeCell="D10" sqref="D10"/>
    </sheetView>
  </sheetViews>
  <sheetFormatPr defaultRowHeight="15" x14ac:dyDescent="0.25"/>
  <cols>
    <col min="1" max="1" width="33.28515625" bestFit="1" customWidth="1"/>
    <col min="2" max="2" width="25.85546875" bestFit="1" customWidth="1"/>
    <col min="3" max="3" width="11" bestFit="1" customWidth="1"/>
    <col min="4" max="4" width="13.28515625" bestFit="1" customWidth="1"/>
    <col min="5" max="5" width="26.5703125" bestFit="1" customWidth="1"/>
    <col min="6" max="6" width="13.7109375" bestFit="1" customWidth="1"/>
    <col min="7" max="7" width="16.85546875" bestFit="1" customWidth="1"/>
    <col min="8" max="8" width="26" bestFit="1" customWidth="1"/>
    <col min="9" max="9" width="18.5703125" bestFit="1" customWidth="1"/>
    <col min="10" max="10" width="16.7109375" bestFit="1" customWidth="1"/>
    <col min="11" max="11" width="16.42578125" bestFit="1" customWidth="1"/>
    <col min="12" max="12" width="6.42578125" bestFit="1" customWidth="1"/>
    <col min="13" max="13" width="4.7109375" bestFit="1" customWidth="1"/>
    <col min="14" max="14" width="10.5703125" bestFit="1" customWidth="1"/>
    <col min="15" max="15" width="4.42578125" bestFit="1" customWidth="1"/>
    <col min="16" max="16" width="11.28515625" bestFit="1" customWidth="1"/>
  </cols>
  <sheetData>
    <row r="3" spans="1:2" x14ac:dyDescent="0.25">
      <c r="A3" s="2" t="s">
        <v>34</v>
      </c>
      <c r="B3" t="s">
        <v>36</v>
      </c>
    </row>
    <row r="4" spans="1:2" x14ac:dyDescent="0.25">
      <c r="A4" s="3" t="s">
        <v>13</v>
      </c>
      <c r="B4">
        <v>15</v>
      </c>
    </row>
    <row r="5" spans="1:2" x14ac:dyDescent="0.25">
      <c r="A5" s="3" t="s">
        <v>10</v>
      </c>
      <c r="B5">
        <v>290</v>
      </c>
    </row>
    <row r="6" spans="1:2" x14ac:dyDescent="0.25">
      <c r="A6" s="4" t="s">
        <v>9</v>
      </c>
      <c r="B6">
        <v>42</v>
      </c>
    </row>
    <row r="7" spans="1:2" x14ac:dyDescent="0.25">
      <c r="A7" s="4" t="s">
        <v>23</v>
      </c>
      <c r="B7">
        <v>248</v>
      </c>
    </row>
    <row r="8" spans="1:2" x14ac:dyDescent="0.25">
      <c r="A8" s="3" t="s">
        <v>8</v>
      </c>
      <c r="B8">
        <v>100</v>
      </c>
    </row>
    <row r="9" spans="1:2" x14ac:dyDescent="0.25">
      <c r="A9" s="4" t="s">
        <v>6</v>
      </c>
      <c r="B9">
        <v>1</v>
      </c>
    </row>
    <row r="10" spans="1:2" x14ac:dyDescent="0.25">
      <c r="A10" s="4" t="s">
        <v>16</v>
      </c>
      <c r="B10">
        <v>1</v>
      </c>
    </row>
    <row r="11" spans="1:2" x14ac:dyDescent="0.25">
      <c r="A11" s="4" t="s">
        <v>23</v>
      </c>
      <c r="B11">
        <v>98</v>
      </c>
    </row>
    <row r="12" spans="1:2" x14ac:dyDescent="0.25">
      <c r="A12" s="3" t="s">
        <v>25</v>
      </c>
      <c r="B12">
        <v>283</v>
      </c>
    </row>
    <row r="13" spans="1:2" x14ac:dyDescent="0.25">
      <c r="A13" s="4" t="s">
        <v>15</v>
      </c>
      <c r="B13">
        <v>7</v>
      </c>
    </row>
    <row r="14" spans="1:2" x14ac:dyDescent="0.25">
      <c r="A14" s="4" t="s">
        <v>23</v>
      </c>
      <c r="B14">
        <v>276</v>
      </c>
    </row>
    <row r="15" spans="1:2" x14ac:dyDescent="0.25">
      <c r="A15" s="3" t="s">
        <v>3</v>
      </c>
      <c r="B15">
        <v>150</v>
      </c>
    </row>
    <row r="16" spans="1:2" x14ac:dyDescent="0.25">
      <c r="A16" s="4" t="s">
        <v>2</v>
      </c>
      <c r="B16">
        <v>21</v>
      </c>
    </row>
    <row r="17" spans="1:2" x14ac:dyDescent="0.25">
      <c r="A17" s="4" t="s">
        <v>6</v>
      </c>
      <c r="B17">
        <v>3</v>
      </c>
    </row>
    <row r="18" spans="1:2" x14ac:dyDescent="0.25">
      <c r="A18" s="4" t="s">
        <v>12</v>
      </c>
      <c r="B18">
        <v>24</v>
      </c>
    </row>
    <row r="19" spans="1:2" x14ac:dyDescent="0.25">
      <c r="A19" s="4" t="s">
        <v>15</v>
      </c>
      <c r="B19">
        <v>5</v>
      </c>
    </row>
    <row r="20" spans="1:2" x14ac:dyDescent="0.25">
      <c r="A20" s="4" t="s">
        <v>16</v>
      </c>
      <c r="B20">
        <v>3</v>
      </c>
    </row>
    <row r="21" spans="1:2" x14ac:dyDescent="0.25">
      <c r="A21" s="4" t="s">
        <v>22</v>
      </c>
      <c r="B21">
        <v>1</v>
      </c>
    </row>
    <row r="22" spans="1:2" x14ac:dyDescent="0.25">
      <c r="A22" s="4" t="s">
        <v>23</v>
      </c>
      <c r="B22">
        <v>93</v>
      </c>
    </row>
    <row r="23" spans="1:2" x14ac:dyDescent="0.25">
      <c r="A23" s="3" t="s">
        <v>18</v>
      </c>
      <c r="B23">
        <v>4</v>
      </c>
    </row>
    <row r="24" spans="1:2" x14ac:dyDescent="0.25">
      <c r="A24" s="4" t="s">
        <v>16</v>
      </c>
      <c r="B24">
        <v>4</v>
      </c>
    </row>
    <row r="25" spans="1:2" x14ac:dyDescent="0.25">
      <c r="A25" s="3" t="s">
        <v>20</v>
      </c>
      <c r="B25">
        <v>1</v>
      </c>
    </row>
    <row r="26" spans="1:2" x14ac:dyDescent="0.25">
      <c r="A26" s="4" t="s">
        <v>16</v>
      </c>
      <c r="B26">
        <v>1</v>
      </c>
    </row>
    <row r="27" spans="1:2" x14ac:dyDescent="0.25">
      <c r="A27" s="3" t="s">
        <v>19</v>
      </c>
      <c r="B27">
        <v>47</v>
      </c>
    </row>
    <row r="28" spans="1:2" x14ac:dyDescent="0.25">
      <c r="A28" s="4" t="s">
        <v>16</v>
      </c>
      <c r="B28">
        <v>46</v>
      </c>
    </row>
    <row r="29" spans="1:2" x14ac:dyDescent="0.25">
      <c r="A29" s="4" t="s">
        <v>21</v>
      </c>
      <c r="B29">
        <v>1</v>
      </c>
    </row>
    <row r="30" spans="1:2" x14ac:dyDescent="0.25">
      <c r="A30" s="3" t="s">
        <v>0</v>
      </c>
      <c r="B30">
        <v>20</v>
      </c>
    </row>
    <row r="31" spans="1:2" x14ac:dyDescent="0.25">
      <c r="A31" s="4" t="s">
        <v>16</v>
      </c>
      <c r="B31">
        <v>20</v>
      </c>
    </row>
    <row r="32" spans="1:2" x14ac:dyDescent="0.25">
      <c r="A32" s="3" t="s">
        <v>17</v>
      </c>
      <c r="B32">
        <v>8</v>
      </c>
    </row>
    <row r="33" spans="1:2" x14ac:dyDescent="0.25">
      <c r="A33" s="4" t="s">
        <v>16</v>
      </c>
      <c r="B33">
        <v>8</v>
      </c>
    </row>
    <row r="34" spans="1:2" x14ac:dyDescent="0.25">
      <c r="A34" s="3" t="s">
        <v>1</v>
      </c>
      <c r="B34">
        <v>130</v>
      </c>
    </row>
    <row r="35" spans="1:2" x14ac:dyDescent="0.25">
      <c r="A35" s="4" t="s">
        <v>2</v>
      </c>
      <c r="B35">
        <v>23</v>
      </c>
    </row>
    <row r="36" spans="1:2" x14ac:dyDescent="0.25">
      <c r="A36" s="4" t="s">
        <v>5</v>
      </c>
      <c r="B36">
        <v>2</v>
      </c>
    </row>
    <row r="37" spans="1:2" x14ac:dyDescent="0.25">
      <c r="A37" s="4" t="s">
        <v>9</v>
      </c>
      <c r="B37">
        <v>11</v>
      </c>
    </row>
    <row r="38" spans="1:2" x14ac:dyDescent="0.25">
      <c r="A38" s="4" t="s">
        <v>12</v>
      </c>
      <c r="B38">
        <v>48</v>
      </c>
    </row>
    <row r="39" spans="1:2" x14ac:dyDescent="0.25">
      <c r="A39" s="4" t="s">
        <v>15</v>
      </c>
      <c r="B39">
        <v>6</v>
      </c>
    </row>
    <row r="40" spans="1:2" x14ac:dyDescent="0.25">
      <c r="A40" s="4" t="s">
        <v>16</v>
      </c>
      <c r="B40">
        <v>1</v>
      </c>
    </row>
    <row r="41" spans="1:2" x14ac:dyDescent="0.25">
      <c r="A41" s="4" t="s">
        <v>21</v>
      </c>
      <c r="B41">
        <v>2</v>
      </c>
    </row>
    <row r="42" spans="1:2" x14ac:dyDescent="0.25">
      <c r="A42" s="4" t="s">
        <v>23</v>
      </c>
      <c r="B42">
        <v>37</v>
      </c>
    </row>
    <row r="43" spans="1:2" x14ac:dyDescent="0.25">
      <c r="A43" s="3" t="s">
        <v>4</v>
      </c>
      <c r="B43">
        <v>90</v>
      </c>
    </row>
    <row r="44" spans="1:2" x14ac:dyDescent="0.25">
      <c r="A44" s="4" t="s">
        <v>2</v>
      </c>
      <c r="B44">
        <v>1</v>
      </c>
    </row>
    <row r="45" spans="1:2" x14ac:dyDescent="0.25">
      <c r="A45" s="4" t="s">
        <v>9</v>
      </c>
      <c r="B45">
        <v>1</v>
      </c>
    </row>
    <row r="46" spans="1:2" x14ac:dyDescent="0.25">
      <c r="A46" s="4" t="s">
        <v>11</v>
      </c>
      <c r="B46">
        <v>1</v>
      </c>
    </row>
    <row r="47" spans="1:2" x14ac:dyDescent="0.25">
      <c r="A47" s="4" t="s">
        <v>12</v>
      </c>
      <c r="B47">
        <v>27</v>
      </c>
    </row>
    <row r="48" spans="1:2" x14ac:dyDescent="0.25">
      <c r="A48" s="4" t="s">
        <v>15</v>
      </c>
      <c r="B48">
        <v>2</v>
      </c>
    </row>
    <row r="49" spans="1:2" x14ac:dyDescent="0.25">
      <c r="A49" s="4" t="s">
        <v>16</v>
      </c>
      <c r="B49">
        <v>1</v>
      </c>
    </row>
    <row r="50" spans="1:2" x14ac:dyDescent="0.25">
      <c r="A50" s="4" t="s">
        <v>21</v>
      </c>
      <c r="B50">
        <v>1</v>
      </c>
    </row>
    <row r="51" spans="1:2" x14ac:dyDescent="0.25">
      <c r="A51" s="4" t="s">
        <v>22</v>
      </c>
      <c r="B51">
        <v>3</v>
      </c>
    </row>
    <row r="52" spans="1:2" x14ac:dyDescent="0.25">
      <c r="A52" s="4" t="s">
        <v>23</v>
      </c>
      <c r="B52">
        <v>53</v>
      </c>
    </row>
    <row r="53" spans="1:2" x14ac:dyDescent="0.25">
      <c r="A53" s="3" t="s">
        <v>24</v>
      </c>
      <c r="B53">
        <v>379</v>
      </c>
    </row>
    <row r="54" spans="1:2" x14ac:dyDescent="0.25">
      <c r="A54" s="4" t="s">
        <v>23</v>
      </c>
      <c r="B54">
        <v>379</v>
      </c>
    </row>
    <row r="55" spans="1:2" x14ac:dyDescent="0.25">
      <c r="A55" s="3" t="s">
        <v>7</v>
      </c>
      <c r="B55">
        <v>65</v>
      </c>
    </row>
    <row r="56" spans="1:2" x14ac:dyDescent="0.25">
      <c r="A56" s="4" t="s">
        <v>6</v>
      </c>
      <c r="B56">
        <v>2</v>
      </c>
    </row>
    <row r="57" spans="1:2" x14ac:dyDescent="0.25">
      <c r="A57" s="4" t="s">
        <v>9</v>
      </c>
      <c r="B57">
        <v>2</v>
      </c>
    </row>
    <row r="58" spans="1:2" x14ac:dyDescent="0.25">
      <c r="A58" s="4" t="s">
        <v>12</v>
      </c>
      <c r="B58">
        <v>1</v>
      </c>
    </row>
    <row r="59" spans="1:2" x14ac:dyDescent="0.25">
      <c r="A59" s="4" t="s">
        <v>14</v>
      </c>
      <c r="B59">
        <v>1</v>
      </c>
    </row>
    <row r="60" spans="1:2" x14ac:dyDescent="0.25">
      <c r="A60" s="4" t="s">
        <v>15</v>
      </c>
      <c r="B60">
        <v>15</v>
      </c>
    </row>
    <row r="61" spans="1:2" x14ac:dyDescent="0.25">
      <c r="A61" s="4" t="s">
        <v>21</v>
      </c>
      <c r="B61">
        <v>1</v>
      </c>
    </row>
    <row r="62" spans="1:2" x14ac:dyDescent="0.25">
      <c r="A62" s="4" t="s">
        <v>22</v>
      </c>
      <c r="B62">
        <v>11</v>
      </c>
    </row>
    <row r="63" spans="1:2" x14ac:dyDescent="0.25">
      <c r="A63" s="4" t="s">
        <v>23</v>
      </c>
      <c r="B63">
        <v>32</v>
      </c>
    </row>
    <row r="64" spans="1:2" x14ac:dyDescent="0.25">
      <c r="A64" s="3" t="s">
        <v>35</v>
      </c>
      <c r="B64">
        <v>1582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Montgomery_Fleet_Equipment_Inve</vt:lpstr>
      <vt:lpstr>Pivot 1</vt:lpstr>
      <vt:lpstr>Pivot 2</vt:lpstr>
      <vt:lpstr>Pivot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Anayo Anthony Nzua</dc:creator>
  <cp:lastModifiedBy>Anayo Anthony Nzua</cp:lastModifiedBy>
  <dcterms:created xsi:type="dcterms:W3CDTF">2020-09-01T17:18:12Z</dcterms:created>
  <dcterms:modified xsi:type="dcterms:W3CDTF">2023-11-21T12:07:17Z</dcterms:modified>
</cp:coreProperties>
</file>